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Coupe Astrale #12 09-05-2025\"/>
    </mc:Choice>
  </mc:AlternateContent>
  <xr:revisionPtr revIDLastSave="0" documentId="13_ncr:1_{6A8D4239-E54F-4242-92DE-82F5E3F5C42C}" xr6:coauthVersionLast="47" xr6:coauthVersionMax="47" xr10:uidLastSave="{00000000-0000-0000-0000-000000000000}"/>
  <bookViews>
    <workbookView xWindow="-120" yWindow="-120" windowWidth="38640" windowHeight="21120" activeTab="1" xr2:uid="{E247845C-E30B-4370-881A-32B6098AC913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4" i="2"/>
  <c r="G6" i="2"/>
  <c r="G3" i="2"/>
  <c r="G2" i="2"/>
  <c r="G16" i="2"/>
  <c r="G15" i="2"/>
  <c r="G14" i="2"/>
  <c r="G13" i="2"/>
  <c r="G12" i="2"/>
</calcChain>
</file>

<file path=xl/sharedStrings.xml><?xml version="1.0" encoding="utf-8"?>
<sst xmlns="http://schemas.openxmlformats.org/spreadsheetml/2006/main" count="183" uniqueCount="93">
  <si>
    <t>Chefs</t>
  </si>
  <si>
    <t>On Verra</t>
  </si>
  <si>
    <t>Lost Fc Spec</t>
  </si>
  <si>
    <t>team</t>
  </si>
  <si>
    <t>joueurs</t>
  </si>
  <si>
    <t>compo</t>
  </si>
  <si>
    <t>points</t>
  </si>
  <si>
    <t>Do Brazil</t>
  </si>
  <si>
    <t>Pourfendeurs</t>
  </si>
  <si>
    <t>Zbeb Zbeb</t>
  </si>
  <si>
    <t>POULE A</t>
  </si>
  <si>
    <t>POULE B</t>
  </si>
  <si>
    <t>POULE C</t>
  </si>
  <si>
    <t>POULE D</t>
  </si>
  <si>
    <t>IMPACT</t>
  </si>
  <si>
    <t>MOI</t>
  </si>
  <si>
    <t>osa/enu/roub</t>
  </si>
  <si>
    <t>First Try</t>
  </si>
  <si>
    <t>Les Titazophobes</t>
  </si>
  <si>
    <t>Je Full Fail</t>
  </si>
  <si>
    <t>0% winrate</t>
  </si>
  <si>
    <t>Finito'terminé</t>
  </si>
  <si>
    <t>La cheg musical</t>
  </si>
  <si>
    <t>Le bon la brute et le teubé</t>
  </si>
  <si>
    <t>T'es Mammouutttttt</t>
  </si>
  <si>
    <t>LAYSTEUUUR !</t>
  </si>
  <si>
    <t>bwin/djonk/pierre</t>
  </si>
  <si>
    <t>Palmares Frelourson</t>
  </si>
  <si>
    <t>Les outsiders</t>
  </si>
  <si>
    <t>VISHYO</t>
  </si>
  <si>
    <t>Askip</t>
  </si>
  <si>
    <t>Les Anonymes</t>
  </si>
  <si>
    <t>osa/enu/sacri</t>
  </si>
  <si>
    <t>Kontrol/Vanex/Ukyio</t>
  </si>
  <si>
    <t>osa/panda/sacri</t>
  </si>
  <si>
    <t>Liberty/che-gue/Hayiko</t>
  </si>
  <si>
    <t>Aze/Nipou/Seziah</t>
  </si>
  <si>
    <t>Byg/Archie</t>
  </si>
  <si>
    <t>steam/cra/sadi</t>
  </si>
  <si>
    <t>La source/Insidious</t>
  </si>
  <si>
    <t>lebrr/google/toto</t>
  </si>
  <si>
    <t>eni/iop/cra</t>
  </si>
  <si>
    <t>Cambou/calibres/saba</t>
  </si>
  <si>
    <t>Myga</t>
  </si>
  <si>
    <t>xel/roub/cra</t>
  </si>
  <si>
    <t>viagras</t>
  </si>
  <si>
    <t>osa/cra/sacri</t>
  </si>
  <si>
    <t>vinceelt/shanks/youss</t>
  </si>
  <si>
    <t>bandera/uzi/St-honore</t>
  </si>
  <si>
    <t>Gallonor</t>
  </si>
  <si>
    <t>Luffy</t>
  </si>
  <si>
    <t>steamer/enutrof/sadida</t>
  </si>
  <si>
    <t>Lubri</t>
  </si>
  <si>
    <t>steam/enu/cra</t>
  </si>
  <si>
    <t>Life/Regle/Tymel</t>
  </si>
  <si>
    <t>Beurck/Rolex/Zepek</t>
  </si>
  <si>
    <t>Tshelby/Zeleph</t>
  </si>
  <si>
    <t>steam/sadi/sacri</t>
  </si>
  <si>
    <t>A</t>
  </si>
  <si>
    <t>B</t>
  </si>
  <si>
    <t>C</t>
  </si>
  <si>
    <t>D</t>
  </si>
  <si>
    <t>E</t>
  </si>
  <si>
    <t>win perf</t>
  </si>
  <si>
    <t>win 1 mort</t>
  </si>
  <si>
    <t>win 2 morts</t>
  </si>
  <si>
    <t>defaite totale</t>
  </si>
  <si>
    <t>defaite 1 kill</t>
  </si>
  <si>
    <t>defaite 2 kills</t>
  </si>
  <si>
    <t>bonus win -6t</t>
  </si>
  <si>
    <t>bonus win -12t</t>
  </si>
  <si>
    <t>Match 1</t>
  </si>
  <si>
    <t>Match 2</t>
  </si>
  <si>
    <t>Match 3</t>
  </si>
  <si>
    <t>Match 4</t>
  </si>
  <si>
    <t>Match 5</t>
  </si>
  <si>
    <t>en attente</t>
  </si>
  <si>
    <t>Horaire</t>
  </si>
  <si>
    <t>9/05 21h</t>
  </si>
  <si>
    <t>9/05 22h</t>
  </si>
  <si>
    <t>9/05 23h</t>
  </si>
  <si>
    <t>10/05 20h</t>
  </si>
  <si>
    <t>10/05 21h</t>
  </si>
  <si>
    <t>perdant</t>
  </si>
  <si>
    <t>gagnant</t>
  </si>
  <si>
    <t>nb tours</t>
  </si>
  <si>
    <t>perso team gagnante en vie</t>
  </si>
  <si>
    <t>On verra</t>
  </si>
  <si>
    <t>Les Chefs</t>
  </si>
  <si>
    <t>Lost FC Spec</t>
  </si>
  <si>
    <t>pourfendeurs</t>
  </si>
  <si>
    <t>on verra</t>
  </si>
  <si>
    <t>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</si>
</sst>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Inherit"/>
    </font>
    <font>
      <b/>
      <sz val="7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0" xfId="0" applyFill="1"/>
    <xf numFmtId="0" fontId="0" fillId="2" borderId="5" xfId="0" applyFill="1" applyBorder="1"/>
    <xf numFmtId="0" fontId="2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2" borderId="14" xfId="0" applyFill="1" applyBorder="1"/>
    <xf numFmtId="0" fontId="0" fillId="2" borderId="16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2" xfId="0" applyFill="1" applyBorder="1"/>
    <xf numFmtId="0" fontId="0" fillId="3" borderId="19" xfId="0" applyFill="1" applyBorder="1"/>
    <xf numFmtId="0" fontId="0" fillId="3" borderId="0" xfId="0" applyFill="1"/>
    <xf numFmtId="0" fontId="0" fillId="3" borderId="20" xfId="0" applyFill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</xdr:rowOff>
    </xdr:from>
    <xdr:to>
      <xdr:col>7</xdr:col>
      <xdr:colOff>123825</xdr:colOff>
      <xdr:row>29</xdr:row>
      <xdr:rowOff>76200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408F8B1-8FDE-DD38-338E-D872B29EA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52600"/>
          <a:ext cx="7772400" cy="3886200"/>
        </a:xfrm>
        <a:prstGeom prst="rect">
          <a:avLst/>
        </a:prstGeom>
      </xdr:spPr>
    </xdr:pic>
    <xdr:clientData/>
  </xdr:twoCellAnchor>
  <xdr:twoCellAnchor editAs="oneCell">
    <xdr:from>
      <xdr:col>7</xdr:col>
      <xdr:colOff>121425</xdr:colOff>
      <xdr:row>9</xdr:row>
      <xdr:rowOff>7125</xdr:rowOff>
    </xdr:from>
    <xdr:to>
      <xdr:col>13</xdr:col>
      <xdr:colOff>1092975</xdr:colOff>
      <xdr:row>29</xdr:row>
      <xdr:rowOff>73800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32F20AC-CD0B-EF9E-A2EF-4602ECAD4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0000" y="1750200"/>
          <a:ext cx="7772400" cy="3886200"/>
        </a:xfrm>
        <a:prstGeom prst="rect">
          <a:avLst/>
        </a:prstGeom>
      </xdr:spPr>
    </xdr:pic>
    <xdr:clientData/>
  </xdr:twoCellAnchor>
  <xdr:twoCellAnchor editAs="oneCell">
    <xdr:from>
      <xdr:col>7</xdr:col>
      <xdr:colOff>128550</xdr:colOff>
      <xdr:row>29</xdr:row>
      <xdr:rowOff>90450</xdr:rowOff>
    </xdr:from>
    <xdr:to>
      <xdr:col>13</xdr:col>
      <xdr:colOff>1100100</xdr:colOff>
      <xdr:row>49</xdr:row>
      <xdr:rowOff>181730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4D88C0B7-8706-16A2-476E-123D8B696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7125" y="5643525"/>
          <a:ext cx="7772400" cy="3901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88050</xdr:rowOff>
    </xdr:from>
    <xdr:to>
      <xdr:col>7</xdr:col>
      <xdr:colOff>123825</xdr:colOff>
      <xdr:row>49</xdr:row>
      <xdr:rowOff>164250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E8AC6C70-4EE5-D961-72BC-6A4E3518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41125"/>
          <a:ext cx="7772400" cy="3886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7F4E-4773-4EA7-8079-057077B27C42}">
  <dimension ref="A1:Z33"/>
  <sheetViews>
    <sheetView topLeftCell="A6" zoomScale="85" zoomScaleNormal="85" workbookViewId="0">
      <selection activeCell="A58" sqref="A58:F70"/>
    </sheetView>
  </sheetViews>
  <sheetFormatPr baseColWidth="10" defaultRowHeight="15"/>
  <cols>
    <col min="1" max="1" width="13.140625" bestFit="1" customWidth="1"/>
    <col min="2" max="2" width="19.28515625" bestFit="1" customWidth="1"/>
    <col min="3" max="3" width="15.7109375" bestFit="1" customWidth="1"/>
    <col min="4" max="4" width="6.5703125" bestFit="1" customWidth="1"/>
    <col min="5" max="5" width="16.28515625" bestFit="1" customWidth="1"/>
    <col min="6" max="6" width="21" bestFit="1" customWidth="1"/>
    <col min="7" max="7" width="22.7109375" bestFit="1" customWidth="1"/>
    <col min="8" max="8" width="6.5703125" bestFit="1" customWidth="1"/>
    <col min="9" max="9" width="24.5703125" bestFit="1" customWidth="1"/>
    <col min="10" max="10" width="22.28515625" bestFit="1" customWidth="1"/>
    <col min="11" max="11" width="22.7109375" bestFit="1" customWidth="1"/>
    <col min="12" max="12" width="6.5703125" bestFit="1" customWidth="1"/>
    <col min="13" max="13" width="19.28515625" bestFit="1" customWidth="1"/>
    <col min="14" max="14" width="21" bestFit="1" customWidth="1"/>
    <col min="15" max="15" width="15.7109375" bestFit="1" customWidth="1"/>
    <col min="16" max="16" width="6.5703125" bestFit="1" customWidth="1"/>
    <col min="17" max="17" width="2.28515625" bestFit="1" customWidth="1"/>
    <col min="18" max="18" width="16.28515625" bestFit="1" customWidth="1"/>
    <col min="20" max="20" width="7.85546875" bestFit="1" customWidth="1"/>
    <col min="21" max="21" width="9.42578125" bestFit="1" customWidth="1"/>
    <col min="22" max="24" width="16.28515625" bestFit="1" customWidth="1"/>
    <col min="25" max="25" width="10.140625" bestFit="1" customWidth="1"/>
    <col min="26" max="26" width="16.28515625" bestFit="1" customWidth="1"/>
  </cols>
  <sheetData>
    <row r="1" spans="1:19" ht="15.75" thickBot="1">
      <c r="A1" s="30" t="s">
        <v>10</v>
      </c>
      <c r="B1" s="31"/>
      <c r="C1" s="31"/>
      <c r="D1" s="31"/>
      <c r="E1" s="30" t="s">
        <v>11</v>
      </c>
      <c r="F1" s="31"/>
      <c r="G1" s="31"/>
      <c r="H1" s="32"/>
      <c r="I1" s="31" t="s">
        <v>12</v>
      </c>
      <c r="J1" s="31"/>
      <c r="K1" s="31"/>
      <c r="L1" s="32"/>
      <c r="M1" s="31" t="s">
        <v>13</v>
      </c>
      <c r="N1" s="31"/>
      <c r="O1" s="31"/>
      <c r="P1" s="32"/>
    </row>
    <row r="2" spans="1:19">
      <c r="A2" s="1" t="s">
        <v>3</v>
      </c>
      <c r="B2" t="s">
        <v>4</v>
      </c>
      <c r="C2" t="s">
        <v>5</v>
      </c>
      <c r="D2" t="s">
        <v>6</v>
      </c>
      <c r="E2" s="1" t="s">
        <v>3</v>
      </c>
      <c r="F2" t="s">
        <v>4</v>
      </c>
      <c r="G2" t="s">
        <v>5</v>
      </c>
      <c r="H2" s="2" t="s">
        <v>6</v>
      </c>
      <c r="I2" s="6" t="s">
        <v>3</v>
      </c>
      <c r="J2" s="6" t="s">
        <v>4</v>
      </c>
      <c r="K2" s="6" t="s">
        <v>5</v>
      </c>
      <c r="L2" s="7" t="s">
        <v>6</v>
      </c>
      <c r="M2" t="s">
        <v>3</v>
      </c>
      <c r="N2" t="s">
        <v>4</v>
      </c>
      <c r="O2" t="s">
        <v>5</v>
      </c>
      <c r="P2" s="2" t="s">
        <v>6</v>
      </c>
    </row>
    <row r="3" spans="1:19">
      <c r="A3" s="8" t="s">
        <v>0</v>
      </c>
      <c r="B3" t="s">
        <v>55</v>
      </c>
      <c r="C3" t="s">
        <v>32</v>
      </c>
      <c r="D3">
        <v>0</v>
      </c>
      <c r="E3" s="1" t="s">
        <v>20</v>
      </c>
      <c r="F3" t="s">
        <v>42</v>
      </c>
      <c r="G3" t="s">
        <v>41</v>
      </c>
      <c r="H3" s="2">
        <v>0</v>
      </c>
      <c r="I3" s="9" t="s">
        <v>21</v>
      </c>
      <c r="J3" t="s">
        <v>33</v>
      </c>
      <c r="K3" t="s">
        <v>34</v>
      </c>
      <c r="L3" s="2">
        <v>0</v>
      </c>
      <c r="M3" s="9" t="s">
        <v>27</v>
      </c>
      <c r="N3" t="s">
        <v>40</v>
      </c>
      <c r="O3" t="s">
        <v>32</v>
      </c>
      <c r="P3" s="2">
        <v>0</v>
      </c>
    </row>
    <row r="4" spans="1:19">
      <c r="A4" s="8" t="s">
        <v>1</v>
      </c>
      <c r="B4" t="s">
        <v>36</v>
      </c>
      <c r="C4" t="s">
        <v>32</v>
      </c>
      <c r="D4">
        <v>0</v>
      </c>
      <c r="E4" s="1" t="s">
        <v>17</v>
      </c>
      <c r="F4" t="s">
        <v>45</v>
      </c>
      <c r="G4" t="s">
        <v>46</v>
      </c>
      <c r="H4" s="2">
        <v>0</v>
      </c>
      <c r="I4" t="s">
        <v>22</v>
      </c>
      <c r="J4" t="s">
        <v>48</v>
      </c>
      <c r="K4" t="s">
        <v>32</v>
      </c>
      <c r="L4" s="2">
        <v>0</v>
      </c>
      <c r="M4" t="s">
        <v>28</v>
      </c>
      <c r="O4" t="s">
        <v>57</v>
      </c>
      <c r="P4" s="2">
        <v>0</v>
      </c>
    </row>
    <row r="5" spans="1:19">
      <c r="A5" s="1" t="s">
        <v>2</v>
      </c>
      <c r="B5" t="s">
        <v>43</v>
      </c>
      <c r="C5" t="s">
        <v>44</v>
      </c>
      <c r="D5">
        <v>0</v>
      </c>
      <c r="E5" s="1" t="s">
        <v>18</v>
      </c>
      <c r="F5" t="s">
        <v>50</v>
      </c>
      <c r="G5" t="s">
        <v>51</v>
      </c>
      <c r="H5" s="2">
        <v>0</v>
      </c>
      <c r="I5" t="s">
        <v>23</v>
      </c>
      <c r="J5" t="s">
        <v>54</v>
      </c>
      <c r="K5" t="s">
        <v>51</v>
      </c>
      <c r="L5" s="2">
        <v>0</v>
      </c>
      <c r="M5" s="9" t="s">
        <v>29</v>
      </c>
      <c r="N5" t="s">
        <v>47</v>
      </c>
      <c r="O5" t="s">
        <v>32</v>
      </c>
      <c r="P5" s="2">
        <v>0</v>
      </c>
    </row>
    <row r="6" spans="1:19">
      <c r="A6" s="1" t="s">
        <v>7</v>
      </c>
      <c r="B6" t="s">
        <v>37</v>
      </c>
      <c r="C6" t="s">
        <v>38</v>
      </c>
      <c r="D6">
        <v>0</v>
      </c>
      <c r="E6" s="8" t="s">
        <v>19</v>
      </c>
      <c r="F6" t="s">
        <v>39</v>
      </c>
      <c r="G6" t="s">
        <v>32</v>
      </c>
      <c r="H6" s="2">
        <v>0</v>
      </c>
      <c r="I6" s="9" t="s">
        <v>24</v>
      </c>
      <c r="J6" t="s">
        <v>26</v>
      </c>
      <c r="K6" t="s">
        <v>32</v>
      </c>
      <c r="L6" s="2">
        <v>0</v>
      </c>
      <c r="M6" t="s">
        <v>30</v>
      </c>
      <c r="N6" t="s">
        <v>49</v>
      </c>
      <c r="O6" t="s">
        <v>32</v>
      </c>
      <c r="P6" s="2">
        <v>0</v>
      </c>
    </row>
    <row r="7" spans="1:19" ht="15.75" thickBot="1">
      <c r="A7" s="1" t="s">
        <v>8</v>
      </c>
      <c r="B7" t="s">
        <v>56</v>
      </c>
      <c r="C7" t="s">
        <v>32</v>
      </c>
      <c r="D7">
        <v>0</v>
      </c>
      <c r="E7" s="10" t="s">
        <v>14</v>
      </c>
      <c r="F7" s="4" t="s">
        <v>15</v>
      </c>
      <c r="G7" s="4" t="s">
        <v>16</v>
      </c>
      <c r="H7" s="5">
        <v>0</v>
      </c>
      <c r="I7" s="4" t="s">
        <v>25</v>
      </c>
      <c r="J7" s="4" t="s">
        <v>35</v>
      </c>
      <c r="K7" s="4" t="s">
        <v>32</v>
      </c>
      <c r="L7" s="5">
        <v>0</v>
      </c>
      <c r="M7" s="4" t="s">
        <v>31</v>
      </c>
      <c r="N7" s="4" t="s">
        <v>52</v>
      </c>
      <c r="O7" s="4" t="s">
        <v>53</v>
      </c>
      <c r="P7" s="5">
        <v>0</v>
      </c>
    </row>
    <row r="8" spans="1:19" ht="15.75" thickBot="1">
      <c r="A8" s="3" t="s">
        <v>9</v>
      </c>
      <c r="B8" s="4"/>
      <c r="C8" s="4" t="s">
        <v>57</v>
      </c>
      <c r="D8" s="5">
        <v>0</v>
      </c>
    </row>
    <row r="11" spans="1:19">
      <c r="R11" t="s">
        <v>63</v>
      </c>
      <c r="S11">
        <v>6</v>
      </c>
    </row>
    <row r="12" spans="1:19">
      <c r="R12" t="s">
        <v>64</v>
      </c>
      <c r="S12">
        <v>5.5</v>
      </c>
    </row>
    <row r="13" spans="1:19">
      <c r="R13" t="s">
        <v>65</v>
      </c>
      <c r="S13">
        <v>5</v>
      </c>
    </row>
    <row r="14" spans="1:19">
      <c r="R14" t="s">
        <v>66</v>
      </c>
      <c r="S14">
        <v>0</v>
      </c>
    </row>
    <row r="15" spans="1:19">
      <c r="R15" t="s">
        <v>67</v>
      </c>
      <c r="S15">
        <v>0.5</v>
      </c>
    </row>
    <row r="16" spans="1:19">
      <c r="R16" t="s">
        <v>68</v>
      </c>
      <c r="S16">
        <v>1</v>
      </c>
    </row>
    <row r="17" spans="17:26">
      <c r="R17" t="s">
        <v>69</v>
      </c>
      <c r="S17">
        <v>3</v>
      </c>
    </row>
    <row r="18" spans="17:26">
      <c r="R18" t="s">
        <v>70</v>
      </c>
      <c r="S18">
        <v>2</v>
      </c>
    </row>
    <row r="21" spans="17:26" ht="15.75">
      <c r="U21" s="11"/>
    </row>
    <row r="28" spans="17:26">
      <c r="Q28" t="s">
        <v>58</v>
      </c>
      <c r="R28" t="s">
        <v>20</v>
      </c>
      <c r="U28" s="21" t="s">
        <v>77</v>
      </c>
      <c r="V28" s="24"/>
      <c r="W28" s="25"/>
      <c r="X28" s="24"/>
      <c r="Y28" s="25"/>
      <c r="Z28" s="18" t="s">
        <v>76</v>
      </c>
    </row>
    <row r="29" spans="17:26">
      <c r="Q29" t="s">
        <v>59</v>
      </c>
      <c r="R29" t="s">
        <v>17</v>
      </c>
      <c r="T29" s="12" t="s">
        <v>71</v>
      </c>
      <c r="U29" s="22" t="s">
        <v>78</v>
      </c>
      <c r="V29" s="12" t="s">
        <v>18</v>
      </c>
      <c r="W29" s="16" t="s">
        <v>17</v>
      </c>
      <c r="X29" s="27" t="s">
        <v>20</v>
      </c>
      <c r="Y29" s="26" t="s">
        <v>14</v>
      </c>
      <c r="Z29" s="16" t="s">
        <v>18</v>
      </c>
    </row>
    <row r="30" spans="17:26">
      <c r="Q30" t="s">
        <v>60</v>
      </c>
      <c r="R30" t="s">
        <v>18</v>
      </c>
      <c r="T30" s="13" t="s">
        <v>72</v>
      </c>
      <c r="U30" t="s">
        <v>79</v>
      </c>
      <c r="V30" s="13" t="s">
        <v>19</v>
      </c>
      <c r="W30" s="14" t="s">
        <v>17</v>
      </c>
      <c r="X30" s="28" t="s">
        <v>18</v>
      </c>
      <c r="Y30" s="19" t="s">
        <v>14</v>
      </c>
      <c r="Z30" s="14" t="s">
        <v>19</v>
      </c>
    </row>
    <row r="31" spans="17:26">
      <c r="Q31" t="s">
        <v>61</v>
      </c>
      <c r="R31" t="s">
        <v>19</v>
      </c>
      <c r="T31" s="13" t="s">
        <v>73</v>
      </c>
      <c r="U31" t="s">
        <v>80</v>
      </c>
      <c r="V31" s="13" t="s">
        <v>20</v>
      </c>
      <c r="W31" s="14" t="s">
        <v>19</v>
      </c>
      <c r="X31" s="28" t="s">
        <v>17</v>
      </c>
      <c r="Y31" s="19" t="s">
        <v>14</v>
      </c>
      <c r="Z31" s="14" t="s">
        <v>17</v>
      </c>
    </row>
    <row r="32" spans="17:26">
      <c r="Q32" t="s">
        <v>62</v>
      </c>
      <c r="R32" t="s">
        <v>14</v>
      </c>
      <c r="T32" s="13" t="s">
        <v>74</v>
      </c>
      <c r="U32" t="s">
        <v>81</v>
      </c>
      <c r="V32" s="13" t="s">
        <v>20</v>
      </c>
      <c r="W32" s="14" t="s">
        <v>17</v>
      </c>
      <c r="X32" t="s">
        <v>18</v>
      </c>
      <c r="Y32" s="14" t="s">
        <v>19</v>
      </c>
      <c r="Z32" s="19" t="s">
        <v>14</v>
      </c>
    </row>
    <row r="33" spans="20:26">
      <c r="T33" s="15" t="s">
        <v>75</v>
      </c>
      <c r="U33" s="23" t="s">
        <v>82</v>
      </c>
      <c r="V33" s="15" t="s">
        <v>20</v>
      </c>
      <c r="W33" s="17" t="s">
        <v>18</v>
      </c>
      <c r="X33" s="29" t="s">
        <v>19</v>
      </c>
      <c r="Y33" s="20" t="s">
        <v>14</v>
      </c>
      <c r="Z33" s="17" t="s">
        <v>20</v>
      </c>
    </row>
  </sheetData>
  <mergeCells count="4">
    <mergeCell ref="A1:D1"/>
    <mergeCell ref="E1:H1"/>
    <mergeCell ref="I1:L1"/>
    <mergeCell ref="M1:P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268B-981B-44B4-A345-D1B1541B1372}">
  <dimension ref="A1:H37"/>
  <sheetViews>
    <sheetView tabSelected="1" workbookViewId="0">
      <selection activeCell="M22" sqref="M22"/>
    </sheetView>
  </sheetViews>
  <sheetFormatPr baseColWidth="10" defaultRowHeight="15"/>
  <cols>
    <col min="1" max="2" width="16.28515625" bestFit="1" customWidth="1"/>
    <col min="3" max="3" width="8.28515625" bestFit="1" customWidth="1"/>
    <col min="4" max="4" width="25.7109375" bestFit="1" customWidth="1"/>
    <col min="6" max="6" width="16.28515625" bestFit="1" customWidth="1"/>
    <col min="7" max="7" width="6.5703125" bestFit="1" customWidth="1"/>
    <col min="8" max="8" width="12.42578125" bestFit="1" customWidth="1"/>
  </cols>
  <sheetData>
    <row r="1" spans="1:8">
      <c r="A1" t="s">
        <v>84</v>
      </c>
      <c r="B1" t="s">
        <v>83</v>
      </c>
      <c r="C1" t="s">
        <v>85</v>
      </c>
      <c r="D1" t="s">
        <v>86</v>
      </c>
      <c r="G1" t="s">
        <v>6</v>
      </c>
    </row>
    <row r="2" spans="1:8" ht="15" customHeight="1">
      <c r="A2" s="12" t="s">
        <v>18</v>
      </c>
      <c r="B2" s="22" t="s">
        <v>17</v>
      </c>
      <c r="C2" s="22">
        <v>6</v>
      </c>
      <c r="D2" s="22">
        <v>3</v>
      </c>
      <c r="E2" s="22"/>
      <c r="F2" s="22" t="s">
        <v>20</v>
      </c>
      <c r="G2" s="22">
        <f>0.5+5.5+3+0.5</f>
        <v>9.5</v>
      </c>
      <c r="H2" s="33" t="s">
        <v>59</v>
      </c>
    </row>
    <row r="3" spans="1:8" ht="15" customHeight="1">
      <c r="A3" s="13" t="s">
        <v>14</v>
      </c>
      <c r="B3" t="s">
        <v>20</v>
      </c>
      <c r="C3">
        <v>11</v>
      </c>
      <c r="D3">
        <v>2</v>
      </c>
      <c r="F3" t="s">
        <v>17</v>
      </c>
      <c r="G3">
        <f>5+2</f>
        <v>7</v>
      </c>
      <c r="H3" s="34"/>
    </row>
    <row r="4" spans="1:8" ht="15" customHeight="1">
      <c r="A4" s="13" t="s">
        <v>19</v>
      </c>
      <c r="B4" t="s">
        <v>17</v>
      </c>
      <c r="C4">
        <v>6</v>
      </c>
      <c r="D4">
        <v>3</v>
      </c>
      <c r="F4" t="s">
        <v>18</v>
      </c>
      <c r="G4">
        <f>6+3+6+2+5.5+2 +0</f>
        <v>24.5</v>
      </c>
      <c r="H4" s="34"/>
    </row>
    <row r="5" spans="1:8" ht="15" customHeight="1">
      <c r="A5" s="13" t="s">
        <v>18</v>
      </c>
      <c r="B5" t="s">
        <v>14</v>
      </c>
      <c r="C5">
        <v>10</v>
      </c>
      <c r="D5">
        <v>3</v>
      </c>
      <c r="F5" t="s">
        <v>19</v>
      </c>
      <c r="G5">
        <f>6+3+0.5+6+2</f>
        <v>17.5</v>
      </c>
      <c r="H5" s="34"/>
    </row>
    <row r="6" spans="1:8" ht="15" customHeight="1">
      <c r="A6" s="13" t="s">
        <v>20</v>
      </c>
      <c r="B6" s="36" t="s">
        <v>19</v>
      </c>
      <c r="C6">
        <v>6</v>
      </c>
      <c r="D6">
        <v>2</v>
      </c>
      <c r="F6" t="s">
        <v>14</v>
      </c>
      <c r="G6">
        <f>5.5+2+0+1</f>
        <v>8.5</v>
      </c>
      <c r="H6" s="34"/>
    </row>
    <row r="7" spans="1:8">
      <c r="A7" s="13" t="s">
        <v>18</v>
      </c>
      <c r="B7" s="36" t="s">
        <v>20</v>
      </c>
      <c r="C7">
        <v>9</v>
      </c>
      <c r="D7">
        <v>2</v>
      </c>
      <c r="H7" s="34"/>
    </row>
    <row r="8" spans="1:8">
      <c r="A8" t="s">
        <v>17</v>
      </c>
      <c r="B8" s="36" t="s">
        <v>14</v>
      </c>
      <c r="C8">
        <v>12</v>
      </c>
      <c r="D8">
        <v>1</v>
      </c>
      <c r="H8" s="34"/>
    </row>
    <row r="9" spans="1:8">
      <c r="A9" s="36" t="s">
        <v>19</v>
      </c>
      <c r="B9" s="36" t="s">
        <v>18</v>
      </c>
      <c r="C9">
        <v>8</v>
      </c>
      <c r="D9">
        <v>3</v>
      </c>
      <c r="H9" s="34"/>
    </row>
    <row r="10" spans="1:8">
      <c r="A10" s="36" t="s">
        <v>14</v>
      </c>
      <c r="B10" s="36" t="s">
        <v>19</v>
      </c>
      <c r="H10" s="34"/>
    </row>
    <row r="11" spans="1:8" ht="15" customHeight="1"/>
    <row r="12" spans="1:8" ht="15" customHeight="1">
      <c r="A12" s="12" t="s">
        <v>90</v>
      </c>
      <c r="B12" s="22" t="s">
        <v>92</v>
      </c>
      <c r="C12" s="22">
        <v>7</v>
      </c>
      <c r="D12" s="22">
        <v>3</v>
      </c>
      <c r="E12" s="22"/>
      <c r="F12" s="22" t="s">
        <v>90</v>
      </c>
      <c r="G12" s="22">
        <f>6+2+5.5+2+6+2</f>
        <v>23.5</v>
      </c>
      <c r="H12" s="33" t="s">
        <v>58</v>
      </c>
    </row>
    <row r="13" spans="1:8" ht="15" customHeight="1">
      <c r="A13" s="13" t="s">
        <v>87</v>
      </c>
      <c r="B13" t="s">
        <v>88</v>
      </c>
      <c r="C13">
        <v>7</v>
      </c>
      <c r="D13">
        <v>2</v>
      </c>
      <c r="F13" t="s">
        <v>87</v>
      </c>
      <c r="G13">
        <f>5.5+2+0.5</f>
        <v>8</v>
      </c>
      <c r="H13" s="34"/>
    </row>
    <row r="14" spans="1:8" ht="15" customHeight="1">
      <c r="A14" s="13" t="s">
        <v>88</v>
      </c>
      <c r="B14" t="s">
        <v>89</v>
      </c>
      <c r="C14">
        <v>4</v>
      </c>
      <c r="D14">
        <v>3</v>
      </c>
      <c r="F14" t="s">
        <v>88</v>
      </c>
      <c r="G14">
        <f>0.5+6+3+0</f>
        <v>9.5</v>
      </c>
      <c r="H14" s="34"/>
    </row>
    <row r="15" spans="1:8" ht="15" customHeight="1">
      <c r="A15" s="13" t="s">
        <v>90</v>
      </c>
      <c r="B15" t="s">
        <v>91</v>
      </c>
      <c r="C15">
        <v>11</v>
      </c>
      <c r="D15">
        <v>2</v>
      </c>
      <c r="F15" t="s">
        <v>92</v>
      </c>
      <c r="G15">
        <f>0+6+3</f>
        <v>9</v>
      </c>
      <c r="H15" s="34"/>
    </row>
    <row r="16" spans="1:8" ht="15" customHeight="1">
      <c r="A16" s="13" t="s">
        <v>92</v>
      </c>
      <c r="B16" t="s">
        <v>89</v>
      </c>
      <c r="C16">
        <v>3</v>
      </c>
      <c r="D16">
        <v>3</v>
      </c>
      <c r="F16" t="s">
        <v>89</v>
      </c>
      <c r="G16">
        <f>0</f>
        <v>0</v>
      </c>
      <c r="H16" s="34"/>
    </row>
    <row r="17" spans="1:8" ht="15" customHeight="1">
      <c r="A17" s="13" t="s">
        <v>90</v>
      </c>
      <c r="B17" t="s">
        <v>88</v>
      </c>
      <c r="C17">
        <v>8</v>
      </c>
      <c r="D17">
        <v>3</v>
      </c>
      <c r="H17" s="34"/>
    </row>
    <row r="18" spans="1:8" ht="15" customHeight="1">
      <c r="A18" s="13"/>
      <c r="H18" s="34"/>
    </row>
    <row r="19" spans="1:8" ht="15" customHeight="1">
      <c r="A19" s="13"/>
      <c r="H19" s="34"/>
    </row>
    <row r="20" spans="1:8" ht="15" customHeight="1">
      <c r="A20" s="15"/>
      <c r="B20" s="23"/>
      <c r="C20" s="23"/>
      <c r="D20" s="23"/>
      <c r="E20" s="23"/>
      <c r="F20" s="23"/>
      <c r="G20" s="23"/>
      <c r="H20" s="35"/>
    </row>
    <row r="21" spans="1:8" ht="15" customHeight="1"/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</sheetData>
  <mergeCells count="2">
    <mergeCell ref="H2:H10"/>
    <mergeCell ref="H12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Joannes Murigneux</dc:creator>
  <cp:lastModifiedBy>Joannes Murigneux</cp:lastModifiedBy>
  <dcterms:created xsi:type="dcterms:W3CDTF">2025-05-07T22:51:59Z</dcterms:created>
  <dcterms:modified xsi:type="dcterms:W3CDTF">2025-05-10T19:57:59Z</dcterms:modified>
</cp:coreProperties>
</file>